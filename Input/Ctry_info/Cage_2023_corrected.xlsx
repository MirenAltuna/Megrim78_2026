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3.AlternativeChecks/Input/Ctry_info/"/>
    </mc:Choice>
  </mc:AlternateContent>
  <xr:revisionPtr revIDLastSave="10" documentId="8_{30CFA9E5-AA66-4E0F-9316-ADE5548C2BF3}" xr6:coauthVersionLast="47" xr6:coauthVersionMax="47" xr10:uidLastSave="{C2341919-5C09-455F-A65C-801FCB0D5F22}"/>
  <bookViews>
    <workbookView xWindow="-120" yWindow="-120" windowWidth="29040" windowHeight="15720" xr2:uid="{FB9086E5-53EA-4E9C-9F7C-EC1F401D2088}"/>
  </bookViews>
  <sheets>
    <sheet name="RUN2_FINAL_wgbie2023_correct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8" i="2" l="1"/>
  <c r="K38" i="2"/>
  <c r="J38" i="2"/>
  <c r="I38" i="2"/>
  <c r="H38" i="2"/>
  <c r="G38" i="2"/>
  <c r="F38" i="2"/>
  <c r="E38" i="2"/>
  <c r="D38" i="2"/>
  <c r="C38" i="2"/>
  <c r="B38" i="2"/>
  <c r="L37" i="2"/>
  <c r="K37" i="2"/>
  <c r="J37" i="2"/>
  <c r="I37" i="2"/>
  <c r="H37" i="2"/>
  <c r="G37" i="2"/>
  <c r="F37" i="2"/>
  <c r="E37" i="2"/>
  <c r="D37" i="2"/>
  <c r="C37" i="2"/>
  <c r="B37" i="2"/>
  <c r="L36" i="2"/>
  <c r="K36" i="2"/>
  <c r="J36" i="2"/>
  <c r="I36" i="2"/>
  <c r="H36" i="2"/>
  <c r="G36" i="2"/>
  <c r="F36" i="2"/>
  <c r="E36" i="2"/>
  <c r="D36" i="2"/>
  <c r="C36" i="2"/>
  <c r="B36" i="2"/>
  <c r="L28" i="2"/>
  <c r="L24" i="2"/>
  <c r="K24" i="2"/>
  <c r="J24" i="2"/>
  <c r="I24" i="2"/>
  <c r="H24" i="2"/>
  <c r="G24" i="2"/>
  <c r="F24" i="2"/>
  <c r="E24" i="2"/>
  <c r="D24" i="2"/>
  <c r="C24" i="2"/>
  <c r="B24" i="2"/>
  <c r="B29" i="2" s="1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L16" i="2"/>
  <c r="K16" i="2"/>
  <c r="J16" i="2"/>
  <c r="I16" i="2"/>
  <c r="H16" i="2"/>
  <c r="G16" i="2"/>
  <c r="F16" i="2"/>
  <c r="E16" i="2"/>
  <c r="D16" i="2"/>
  <c r="C16" i="2"/>
  <c r="B16" i="2"/>
  <c r="L15" i="2"/>
  <c r="K15" i="2"/>
  <c r="J15" i="2"/>
  <c r="I15" i="2"/>
  <c r="H15" i="2"/>
  <c r="G15" i="2"/>
  <c r="F15" i="2"/>
  <c r="E15" i="2"/>
  <c r="D15" i="2"/>
  <c r="C15" i="2"/>
  <c r="B15" i="2"/>
  <c r="F29" i="2" l="1"/>
  <c r="I29" i="2"/>
  <c r="L27" i="2"/>
  <c r="G29" i="2"/>
  <c r="I28" i="2"/>
  <c r="L29" i="2"/>
  <c r="E27" i="2"/>
  <c r="H28" i="2"/>
  <c r="K28" i="2"/>
  <c r="F28" i="2"/>
  <c r="J29" i="2"/>
  <c r="D28" i="2"/>
  <c r="E29" i="2"/>
  <c r="I27" i="2"/>
  <c r="K29" i="2"/>
  <c r="C29" i="2"/>
  <c r="B27" i="2"/>
  <c r="H27" i="2"/>
  <c r="J27" i="2"/>
  <c r="B28" i="2"/>
  <c r="C27" i="2"/>
  <c r="D29" i="2"/>
  <c r="B48" i="2" s="1"/>
  <c r="K51" i="2" s="1"/>
  <c r="G28" i="2"/>
  <c r="H29" i="2"/>
  <c r="F27" i="2"/>
  <c r="K27" i="2"/>
  <c r="G27" i="2"/>
  <c r="J28" i="2"/>
  <c r="C28" i="2"/>
  <c r="D27" i="2"/>
  <c r="E28" i="2"/>
  <c r="B46" i="2" l="1"/>
  <c r="E51" i="2" s="1"/>
  <c r="D56" i="2"/>
  <c r="C56" i="2"/>
  <c r="F56" i="2"/>
  <c r="G56" i="2"/>
  <c r="I56" i="2"/>
  <c r="H56" i="2"/>
  <c r="B47" i="2"/>
  <c r="H51" i="2" s="1"/>
  <c r="E56" i="2"/>
  <c r="J56" i="2"/>
  <c r="B66" i="2" l="1"/>
  <c r="I55" i="2"/>
  <c r="L55" i="2"/>
  <c r="K55" i="2"/>
  <c r="F55" i="2"/>
  <c r="H55" i="2"/>
  <c r="G55" i="2"/>
  <c r="D55" i="2"/>
  <c r="C55" i="2"/>
  <c r="E55" i="2"/>
  <c r="J55" i="2"/>
  <c r="K61" i="2" l="1"/>
  <c r="K54" i="2"/>
  <c r="L61" i="2"/>
  <c r="L54" i="2"/>
  <c r="I61" i="2"/>
  <c r="I54" i="2"/>
  <c r="J61" i="2"/>
  <c r="J54" i="2"/>
  <c r="E54" i="2"/>
  <c r="E61" i="2"/>
  <c r="C54" i="2"/>
  <c r="C61" i="2"/>
  <c r="B65" i="2"/>
  <c r="D54" i="2"/>
  <c r="D61" i="2"/>
  <c r="G61" i="2"/>
  <c r="G54" i="2"/>
  <c r="H61" i="2"/>
  <c r="H54" i="2"/>
  <c r="F54" i="2"/>
  <c r="F61" i="2"/>
  <c r="B6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tc={7F025B98-A55F-45EA-9DEC-755DC1346451}</author>
  </authors>
  <commentList>
    <comment ref="A17" authorId="0" shapeId="0" xr:uid="{7F025B98-A55F-45EA-9DEC-755DC13464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Los datos de edades de España se han procesado fuera de Intercatch uitlizando la ALK de ESP sobre la length distribution</t>
      </text>
    </comment>
  </commentList>
</comments>
</file>

<file path=xl/sharedStrings.xml><?xml version="1.0" encoding="utf-8"?>
<sst xmlns="http://schemas.openxmlformats.org/spreadsheetml/2006/main" count="60" uniqueCount="36">
  <si>
    <t>Error</t>
  </si>
  <si>
    <t>BEL_LAND</t>
  </si>
  <si>
    <t>nind land = sum (landNind +discNind)</t>
  </si>
  <si>
    <t>Corrected</t>
  </si>
  <si>
    <t>BEL DISC</t>
  </si>
  <si>
    <t>ESP LAND</t>
  </si>
  <si>
    <t>ESP_DISC</t>
  </si>
  <si>
    <t>FR_LAND</t>
  </si>
  <si>
    <t>FR_DISC</t>
  </si>
  <si>
    <t>IRL LAND</t>
  </si>
  <si>
    <t>Irl DISC</t>
  </si>
  <si>
    <t>UK LAND</t>
  </si>
  <si>
    <t>UK DISC</t>
  </si>
  <si>
    <t>/1000</t>
  </si>
  <si>
    <t>catch</t>
  </si>
  <si>
    <t>land</t>
  </si>
  <si>
    <t>disc</t>
  </si>
  <si>
    <t>catch.wt</t>
  </si>
  <si>
    <t>land.wt</t>
  </si>
  <si>
    <t>disc.wt</t>
  </si>
  <si>
    <t>Datos de España utilizando ALK de España</t>
  </si>
  <si>
    <t>SOP CORRECTION BEFORE THE BE LANDINGS NIND CORRECTION</t>
  </si>
  <si>
    <t>SOP</t>
  </si>
  <si>
    <t>catch wt*nind</t>
  </si>
  <si>
    <t>land wt*nind</t>
  </si>
  <si>
    <t>disc wt*nind</t>
  </si>
  <si>
    <t>SOP RATIO</t>
  </si>
  <si>
    <t>Catch tone</t>
  </si>
  <si>
    <t>Landing tone</t>
  </si>
  <si>
    <t>Discards tone</t>
  </si>
  <si>
    <t>from caton.txt</t>
  </si>
  <si>
    <t>NIND SOP CORRECTED</t>
  </si>
  <si>
    <t>WT CATCH SOP CORRECTED</t>
  </si>
  <si>
    <t>SOP CHECK</t>
  </si>
  <si>
    <t>Outputs used in the assessment</t>
  </si>
  <si>
    <t>disc 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</si>
</sst>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000000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3" fillId="0" borderId="0" xfId="0" applyFont="1"/>
    <xf numFmtId="3" fontId="3" fillId="0" borderId="0" xfId="0" applyNumberFormat="1" applyFont="1"/>
    <xf numFmtId="165" fontId="0" fillId="0" borderId="0" xfId="0" applyNumberFormat="1"/>
    <xf numFmtId="164" fontId="0" fillId="0" borderId="0" xfId="0" applyNumberFormat="1"/>
    <xf numFmtId="166" fontId="1" fillId="0" borderId="0" xfId="1" applyNumberFormat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3" fillId="4" borderId="0" xfId="0" applyFont="1" applyFill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CB5F2F1C-F191-4686-931D-1E9C16D5E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RUN2_FINAL_wgbie2023_corrected!$A$27</c:f>
              <c:strCache>
                <c:ptCount val="1"/>
                <c:pt idx="0">
                  <c:v>catch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RUN2_FINAL_wgbie2023_corrected!$B$1:$L$1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RUN2_FINAL_wgbie2023_corrected!$B$27:$L$27</c:f>
              <c:numCache>
                <c:formatCode>#,##0</c:formatCode>
                <c:ptCount val="11"/>
                <c:pt idx="0">
                  <c:v>2120.245009492075</c:v>
                </c:pt>
                <c:pt idx="1">
                  <c:v>3091.5732698365277</c:v>
                </c:pt>
                <c:pt idx="2">
                  <c:v>6048.0626678051631</c:v>
                </c:pt>
                <c:pt idx="3">
                  <c:v>9591.9922773075341</c:v>
                </c:pt>
                <c:pt idx="4">
                  <c:v>19982.557089703932</c:v>
                </c:pt>
                <c:pt idx="5">
                  <c:v>11070.107854438207</c:v>
                </c:pt>
                <c:pt idx="6">
                  <c:v>6206.9997245516151</c:v>
                </c:pt>
                <c:pt idx="7">
                  <c:v>2914.059170279651</c:v>
                </c:pt>
                <c:pt idx="8">
                  <c:v>1195.4418321669152</c:v>
                </c:pt>
                <c:pt idx="9">
                  <c:v>488.6110563857149</c:v>
                </c:pt>
                <c:pt idx="10">
                  <c:v>857.48133950629108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7A-925D-073CD668239C}"/>
            </c:ext>
          </c:extLst>
        </c:ser>
        <c:ser>
          <c:idx val="1"/>
          <c:order val="1"/>
          <c:tx>
            <c:strRef>
              <c:f>RUN2_FINAL_wgbie2023_corrected!$A$28</c:f>
              <c:strCache>
                <c:ptCount val="1"/>
                <c:pt idx="0">
                  <c:v>land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RUN2_FINAL_wgbie2023_corrected!$B$1:$L$1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RUN2_FINAL_wgbie2023_corrected!$B$28:$L$28</c:f>
              <c:numCache>
                <c:formatCode>#,##0</c:formatCode>
                <c:ptCount val="11"/>
                <c:pt idx="0">
                  <c:v>1136.4290190000002</c:v>
                </c:pt>
                <c:pt idx="1">
                  <c:v>705.2704940000001</c:v>
                </c:pt>
                <c:pt idx="2">
                  <c:v>1160.162394760074</c:v>
                </c:pt>
                <c:pt idx="3">
                  <c:v>5297.5539140450946</c:v>
                </c:pt>
                <c:pt idx="4">
                  <c:v>16190.722275646351</c:v>
                </c:pt>
                <c:pt idx="5">
                  <c:v>9351.0589943375362</c:v>
                </c:pt>
                <c:pt idx="6">
                  <c:v>5399.3966917829848</c:v>
                </c:pt>
                <c:pt idx="7">
                  <c:v>2578.6169497832161</c:v>
                </c:pt>
                <c:pt idx="8">
                  <c:v>1067.402460166915</c:v>
                </c:pt>
                <c:pt idx="9">
                  <c:v>449.62302538571493</c:v>
                </c:pt>
                <c:pt idx="10">
                  <c:v>791.84133950629098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1-477A-925D-073CD668239C}"/>
            </c:ext>
          </c:extLst>
        </c:ser>
        <c:ser>
          <c:idx val="2"/>
          <c:order val="2"/>
          <c:tx>
            <c:strRef>
              <c:f>RUN2_FINAL_wgbie2023_corrected!$A$29</c:f>
              <c:strCache>
                <c:ptCount val="1"/>
                <c:pt idx="0">
                  <c:v>disc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RUN2_FINAL_wgbie2023_corrected!$B$1:$L$1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RUN2_FINAL_wgbie2023_corrected!$B$29:$L$29</c:f>
              <c:numCache>
                <c:formatCode>#,##0</c:formatCode>
                <c:ptCount val="11"/>
                <c:pt idx="0">
                  <c:v>983.815990492075</c:v>
                </c:pt>
                <c:pt idx="1">
                  <c:v>2386.3027758365279</c:v>
                </c:pt>
                <c:pt idx="2">
                  <c:v>4887.9002730450884</c:v>
                </c:pt>
                <c:pt idx="3">
                  <c:v>4294.4383632624404</c:v>
                </c:pt>
                <c:pt idx="4">
                  <c:v>3791.8348140575808</c:v>
                </c:pt>
                <c:pt idx="5">
                  <c:v>1719.0488601006712</c:v>
                </c:pt>
                <c:pt idx="6">
                  <c:v>807.60303276863067</c:v>
                </c:pt>
                <c:pt idx="7">
                  <c:v>335.44222049643531</c:v>
                </c:pt>
                <c:pt idx="8">
                  <c:v>128.03937199999999</c:v>
                </c:pt>
                <c:pt idx="9">
                  <c:v>38.988030999999999</c:v>
                </c:pt>
                <c:pt idx="10">
                  <c:v>65.64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7A-925D-073CD6682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711600"/>
        <c:axId val="1265181648"/>
      </c:lineChart>
      <c:catAx>
        <c:axId val="127371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5181648"/>
        <c:crosses val="autoZero"/>
        <c:auto val="1"/>
        <c:lblAlgn val="ctr"/>
        <c:lblOffset val="100"/>
        <c:noMultiLvlLbl val="0"/>
      </c:catAx>
      <c:valAx>
        <c:axId val="12651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371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RUN2_FINAL_wgbie2023_corrected!$A$41</c:f>
              <c:strCache>
                <c:ptCount val="1"/>
                <c:pt idx="0">
                  <c:v>ESP 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RUN2_FINAL_wgbie2023_corrected!$B$1:$L$1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RUN2_FINAL_wgbie2023_corrected!$B$41:$L$41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29.085318760073964</c:v>
                </c:pt>
                <c:pt idx="3">
                  <c:v>1664.3153710450949</c:v>
                </c:pt>
                <c:pt idx="4">
                  <c:v>8957.6913586463506</c:v>
                </c:pt>
                <c:pt idx="5">
                  <c:v>3195.3117483375354</c:v>
                </c:pt>
                <c:pt idx="6">
                  <c:v>1012.8018387829845</c:v>
                </c:pt>
                <c:pt idx="7">
                  <c:v>279.89640178321611</c:v>
                </c:pt>
                <c:pt idx="8">
                  <c:v>104.97722416691501</c:v>
                </c:pt>
                <c:pt idx="9">
                  <c:v>57.064781385714966</c:v>
                </c:pt>
                <c:pt idx="10">
                  <c:v>8.3395062909606826E-3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C-4E56-8871-62C8F5957CBA}"/>
            </c:ext>
          </c:extLst>
        </c:ser>
        <c:ser>
          <c:idx val="1"/>
          <c:order val="1"/>
          <c:tx>
            <c:strRef>
              <c:f>RUN2_FINAL_wgbie2023_corrected!$A$42</c:f>
              <c:strCache>
                <c:ptCount val="1"/>
                <c:pt idx="0">
                  <c:v>ESP_DISC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RUN2_FINAL_wgbie2023_corrected!$B$1:$L$1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RUN2_FINAL_wgbie2023_corrected!$B$42:$L$42</c:f>
              <c:numCache>
                <c:formatCode>0.0</c:formatCode>
                <c:ptCount val="11"/>
                <c:pt idx="0">
                  <c:v>3.9060754920749332</c:v>
                </c:pt>
                <c:pt idx="1">
                  <c:v>1013.5320078365279</c:v>
                </c:pt>
                <c:pt idx="2">
                  <c:v>2816.7195590450888</c:v>
                </c:pt>
                <c:pt idx="3">
                  <c:v>2224.6566002624409</c:v>
                </c:pt>
                <c:pt idx="4">
                  <c:v>935.53123305758083</c:v>
                </c:pt>
                <c:pt idx="5">
                  <c:v>228.2525881006712</c:v>
                </c:pt>
                <c:pt idx="6">
                  <c:v>16.427650768630663</c:v>
                </c:pt>
                <c:pt idx="7">
                  <c:v>1.8667784964353022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C-4E56-8871-62C8F5957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877888"/>
        <c:axId val="1979880288"/>
      </c:lineChart>
      <c:catAx>
        <c:axId val="19798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9880288"/>
        <c:crosses val="autoZero"/>
        <c:auto val="1"/>
        <c:lblAlgn val="ctr"/>
        <c:lblOffset val="100"/>
        <c:noMultiLvlLbl val="0"/>
      </c:catAx>
      <c:valAx>
        <c:axId val="19798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98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RUN2_FINAL_wgbie2023_corrected!$C$32:$L$32</c:f>
              <c:numCache>
                <c:formatCode>#,##0</c:formatCode>
                <c:ptCount val="10"/>
                <c:pt idx="0">
                  <c:v>44.7</c:v>
                </c:pt>
                <c:pt idx="1">
                  <c:v>124.23</c:v>
                </c:pt>
                <c:pt idx="2">
                  <c:v>166.82</c:v>
                </c:pt>
                <c:pt idx="3">
                  <c:v>214.47</c:v>
                </c:pt>
                <c:pt idx="4">
                  <c:v>283.32</c:v>
                </c:pt>
                <c:pt idx="5">
                  <c:v>377.86</c:v>
                </c:pt>
                <c:pt idx="6">
                  <c:v>452.74</c:v>
                </c:pt>
                <c:pt idx="7">
                  <c:v>505.51</c:v>
                </c:pt>
                <c:pt idx="8">
                  <c:v>537.85</c:v>
                </c:pt>
                <c:pt idx="9">
                  <c:v>603.99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3-4D1F-A2D4-E7B5820F30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RUN2_FINAL_wgbie2023_corrected!$C$33:$L$33</c:f>
              <c:numCache>
                <c:formatCode>#,##0</c:formatCode>
                <c:ptCount val="10"/>
                <c:pt idx="0">
                  <c:v>52.88</c:v>
                </c:pt>
                <c:pt idx="1">
                  <c:v>143.79</c:v>
                </c:pt>
                <c:pt idx="2">
                  <c:v>177.11</c:v>
                </c:pt>
                <c:pt idx="3">
                  <c:v>222.01</c:v>
                </c:pt>
                <c:pt idx="4">
                  <c:v>286.55</c:v>
                </c:pt>
                <c:pt idx="5">
                  <c:v>379.72</c:v>
                </c:pt>
                <c:pt idx="6">
                  <c:v>451.4</c:v>
                </c:pt>
                <c:pt idx="7">
                  <c:v>501.83</c:v>
                </c:pt>
                <c:pt idx="8">
                  <c:v>535.14</c:v>
                </c:pt>
                <c:pt idx="9">
                  <c:v>606.53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3-4D1F-A2D4-E7B5820F30E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RUN2_FINAL_wgbie2023_corrected!$C$34:$L$34</c:f>
              <c:numCache>
                <c:formatCode>#,##0</c:formatCode>
                <c:ptCount val="10"/>
                <c:pt idx="0">
                  <c:v>36.950000000000003</c:v>
                </c:pt>
                <c:pt idx="1">
                  <c:v>102.97</c:v>
                </c:pt>
                <c:pt idx="2">
                  <c:v>140.97999999999999</c:v>
                </c:pt>
                <c:pt idx="3">
                  <c:v>189.81</c:v>
                </c:pt>
                <c:pt idx="4">
                  <c:v>267.98</c:v>
                </c:pt>
                <c:pt idx="5">
                  <c:v>366.64</c:v>
                </c:pt>
                <c:pt idx="6">
                  <c:v>462.38</c:v>
                </c:pt>
                <c:pt idx="7">
                  <c:v>534</c:v>
                </c:pt>
                <c:pt idx="8">
                  <c:v>563.96</c:v>
                </c:pt>
                <c:pt idx="9">
                  <c:v>576.86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3-4D1F-A2D4-E7B5820F3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067344"/>
        <c:axId val="343481616"/>
      </c:lineChart>
      <c:catAx>
        <c:axId val="1985067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3481616"/>
        <c:crosses val="autoZero"/>
        <c:auto val="1"/>
        <c:lblAlgn val="ctr"/>
        <c:lblOffset val="100"/>
        <c:noMultiLvlLbl val="0"/>
      </c:catAx>
      <c:valAx>
        <c:axId val="3434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506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RUN2_FINAL_wgbie2023_corrected!$A$21</c:f>
              <c:strCache>
                <c:ptCount val="1"/>
                <c:pt idx="0">
                  <c:v>IRL LAND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RUN2_FINAL_wgbie2023_corrected!$B$14:$L$14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RUN2_FINAL_wgbie2023_corrected!$B$21:$L$21</c:f>
              <c:numCache>
                <c:formatCode>0.00</c:formatCode>
                <c:ptCount val="11"/>
                <c:pt idx="0">
                  <c:v>0</c:v>
                </c:pt>
                <c:pt idx="1">
                  <c:v>18.382480999999999</c:v>
                </c:pt>
                <c:pt idx="2">
                  <c:v>236.69809099999998</c:v>
                </c:pt>
                <c:pt idx="3">
                  <c:v>1329.6154040000001</c:v>
                </c:pt>
                <c:pt idx="4">
                  <c:v>1705.0455300000001</c:v>
                </c:pt>
                <c:pt idx="5">
                  <c:v>818.74221900000009</c:v>
                </c:pt>
                <c:pt idx="6">
                  <c:v>405.06036899999998</c:v>
                </c:pt>
                <c:pt idx="7">
                  <c:v>267.47264699999999</c:v>
                </c:pt>
                <c:pt idx="8">
                  <c:v>172.59207500000002</c:v>
                </c:pt>
                <c:pt idx="9">
                  <c:v>157.10950399999999</c:v>
                </c:pt>
                <c:pt idx="10">
                  <c:v>607.83000000000004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F-4F6D-A51E-51F596A25EB1}"/>
            </c:ext>
          </c:extLst>
        </c:ser>
        <c:ser>
          <c:idx val="1"/>
          <c:order val="1"/>
          <c:tx>
            <c:strRef>
              <c:f>RUN2_FINAL_wgbie2023_corrected!$A$20</c:f>
              <c:strCache>
                <c:ptCount val="1"/>
                <c:pt idx="0">
                  <c:v>FR_DISC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RUN2_FINAL_wgbie2023_corrected!$B$14:$L$14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RUN2_FINAL_wgbie2023_corrected!$B$20:$L$20</c:f>
              <c:numCache>
                <c:formatCode>0.00</c:formatCode>
                <c:ptCount val="11"/>
                <c:pt idx="0">
                  <c:v>979.90991500000007</c:v>
                </c:pt>
                <c:pt idx="1">
                  <c:v>522.50596700000006</c:v>
                </c:pt>
                <c:pt idx="2">
                  <c:v>126.81488400000001</c:v>
                </c:pt>
                <c:pt idx="3">
                  <c:v>252.00688500000001</c:v>
                </c:pt>
                <c:pt idx="4">
                  <c:v>578.585014</c:v>
                </c:pt>
                <c:pt idx="5">
                  <c:v>650.693082</c:v>
                </c:pt>
                <c:pt idx="6">
                  <c:v>516.02804100000003</c:v>
                </c:pt>
                <c:pt idx="7">
                  <c:v>276.42997300000002</c:v>
                </c:pt>
                <c:pt idx="8">
                  <c:v>104.89989</c:v>
                </c:pt>
                <c:pt idx="9">
                  <c:v>28.169526000000001</c:v>
                </c:pt>
                <c:pt idx="10">
                  <c:v>17.047000000000001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8F-4F6D-A51E-51F596A25EB1}"/>
            </c:ext>
          </c:extLst>
        </c:ser>
        <c:ser>
          <c:idx val="2"/>
          <c:order val="2"/>
          <c:tx>
            <c:strRef>
              <c:f>RUN2_FINAL_wgbie2023_corrected!$A$19</c:f>
              <c:strCache>
                <c:ptCount val="1"/>
                <c:pt idx="0">
                  <c:v>FR_LAND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RUN2_FINAL_wgbie2023_corrected!$B$14:$L$14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RUN2_FINAL_wgbie2023_corrected!$B$19:$L$19</c:f>
              <c:numCache>
                <c:formatCode>0.00</c:formatCode>
                <c:ptCount val="11"/>
                <c:pt idx="0">
                  <c:v>1136.4290190000002</c:v>
                </c:pt>
                <c:pt idx="1">
                  <c:v>605.99757700000009</c:v>
                </c:pt>
                <c:pt idx="2">
                  <c:v>254.516919</c:v>
                </c:pt>
                <c:pt idx="3">
                  <c:v>891.52839899999992</c:v>
                </c:pt>
                <c:pt idx="4">
                  <c:v>2649.0818389999999</c:v>
                </c:pt>
                <c:pt idx="5">
                  <c:v>3185.9803440000001</c:v>
                </c:pt>
                <c:pt idx="6">
                  <c:v>2526.6215999999999</c:v>
                </c:pt>
                <c:pt idx="7">
                  <c:v>1353.480595</c:v>
                </c:pt>
                <c:pt idx="8">
                  <c:v>513.62001199999997</c:v>
                </c:pt>
                <c:pt idx="9">
                  <c:v>137.92609400000001</c:v>
                </c:pt>
                <c:pt idx="10">
                  <c:v>83.471000000000004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8F-4F6D-A51E-51F596A25EB1}"/>
            </c:ext>
          </c:extLst>
        </c:ser>
        <c:ser>
          <c:idx val="3"/>
          <c:order val="3"/>
          <c:tx>
            <c:strRef>
              <c:f>RUN2_FINAL_wgbie2023_corrected!$A$22</c:f>
              <c:strCache>
                <c:ptCount val="1"/>
                <c:pt idx="0">
                  <c:v>Irl DISC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RUN2_FINAL_wgbie2023_corrected!$B$14:$L$14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RUN2_FINAL_wgbie2023_corrected!$B$22:$L$22</c:f>
              <c:numCache>
                <c:formatCode>0.00</c:formatCode>
                <c:ptCount val="11"/>
                <c:pt idx="0">
                  <c:v>0</c:v>
                </c:pt>
                <c:pt idx="1">
                  <c:v>536.78692799999999</c:v>
                </c:pt>
                <c:pt idx="2">
                  <c:v>1122.055879</c:v>
                </c:pt>
                <c:pt idx="3">
                  <c:v>1118.451599</c:v>
                </c:pt>
                <c:pt idx="4">
                  <c:v>1753.7026969999999</c:v>
                </c:pt>
                <c:pt idx="5">
                  <c:v>608.33028899999999</c:v>
                </c:pt>
                <c:pt idx="6">
                  <c:v>162.48285000000001</c:v>
                </c:pt>
                <c:pt idx="7">
                  <c:v>7.4515940000000001</c:v>
                </c:pt>
                <c:pt idx="8">
                  <c:v>4.8082900000000004</c:v>
                </c:pt>
                <c:pt idx="9">
                  <c:v>4.376957</c:v>
                </c:pt>
                <c:pt idx="10">
                  <c:v>41.811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8F-4F6D-A51E-51F596A2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629951"/>
        <c:axId val="1966631391"/>
      </c:scatterChart>
      <c:valAx>
        <c:axId val="196662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1391"/>
        <c:crosses val="autoZero"/>
        <c:crossBetween val="midCat"/>
      </c:valAx>
      <c:valAx>
        <c:axId val="19666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469635</xdr:colOff>
      <xdr:row>40</xdr:row>
      <xdr:rowOff>84932</xdr:rowOff>
    </xdr:from>
    <xdr:to>
      <xdr:col>20</xdr:col>
      <xdr:colOff>474927</xdr:colOff>
      <xdr:row>55</xdr:row>
      <xdr:rowOff>89695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EA51AD-AD90-4449-8981-BDE7A779F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517260</xdr:colOff>
      <xdr:row>39</xdr:row>
      <xdr:rowOff>114035</xdr:rowOff>
    </xdr:from>
    <xdr:to>
      <xdr:col>25</xdr:col>
      <xdr:colOff>469635</xdr:colOff>
      <xdr:row>54</xdr:row>
      <xdr:rowOff>118798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936744-EF78-420B-9B9F-B1A1FE125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502708</xdr:colOff>
      <xdr:row>11</xdr:row>
      <xdr:rowOff>46568</xdr:rowOff>
    </xdr:from>
    <xdr:to>
      <xdr:col>22</xdr:col>
      <xdr:colOff>211666</xdr:colOff>
      <xdr:row>33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586E1-F16B-4826-B0E2-E5A1EDCB3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564092</xdr:colOff>
      <xdr:row>0</xdr:row>
      <xdr:rowOff>152400</xdr:rowOff>
    </xdr:from>
    <xdr:to>
      <xdr:col>22</xdr:col>
      <xdr:colOff>564092</xdr:colOff>
      <xdr:row>16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558A80A-E282-4D0B-A055-373B435A1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e Iriondo" id="{5902F362-A6AE-45FF-A67D-2FCB28232623}" userId="S::airiondo@azti.es::bf70e35e-edd0-44c2-a45c-600bd25bc48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3-04-25T09:26:04.51" personId="{5902F362-A6AE-45FF-A67D-2FCB28232623}" id="{7F025B98-A55F-45EA-9DEC-755DC1346451}">
    <text>Los datos de edades de España se han procesado fuera de Intercatch uitlizando la ALK de ESP sobre la length distribution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9BCB-3E9F-4067-BAAD-5B74681B5781}">
  <dimension ref="A1:O68"/>
  <sheetViews>
    <sheetView tabSelected="1" zoomScale="90" zoomScaleNormal="90" workbookViewId="0">
      <selection activeCell="A58" sqref="A58"/>
    </sheetView>
  </sheetViews>
  <sheetFormatPr baseColWidth="10" defaultRowHeight="15" x14ac:dyDescent="0.25"/>
  <cols>
    <col min="2" max="2" width="12.85546875" bestFit="1" customWidth="1"/>
    <col min="3" max="3" width="11.85546875" bestFit="1" customWidth="1"/>
    <col min="4" max="4" width="12.85546875" customWidth="1"/>
    <col min="5" max="5" width="13" customWidth="1"/>
    <col min="6" max="6" width="12.42578125" customWidth="1"/>
    <col min="7" max="7" width="13.140625" customWidth="1"/>
    <col min="8" max="8" width="12.85546875" customWidth="1"/>
    <col min="9" max="9" width="12.85546875" bestFit="1" customWidth="1"/>
    <col min="10" max="11" width="11.85546875" bestFit="1" customWidth="1"/>
    <col min="12" max="12" width="12.85546875" customWidth="1"/>
  </cols>
  <sheetData>
    <row r="1" spans="1:15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 s="3" t="s">
        <v>0</v>
      </c>
      <c r="N1" s="3"/>
      <c r="O1" s="3"/>
    </row>
    <row r="2" spans="1:15" x14ac:dyDescent="0.25">
      <c r="A2" t="s">
        <v>1</v>
      </c>
      <c r="C2" s="1">
        <v>62283.508999999998</v>
      </c>
      <c r="D2" s="1">
        <v>175373.421</v>
      </c>
      <c r="E2" s="1">
        <v>613439.31999999995</v>
      </c>
      <c r="F2" s="1">
        <v>1201709.949</v>
      </c>
      <c r="G2" s="1">
        <v>791487.15599999996</v>
      </c>
      <c r="H2" s="1">
        <v>451509.49800000002</v>
      </c>
      <c r="I2" s="1">
        <v>180883.394</v>
      </c>
      <c r="J2" s="1">
        <v>64732.639999999999</v>
      </c>
      <c r="K2" s="1">
        <v>22161.757000000001</v>
      </c>
      <c r="L2" s="2">
        <v>20647</v>
      </c>
      <c r="M2" s="3" t="s">
        <v>2</v>
      </c>
      <c r="N2" s="3"/>
      <c r="O2" s="3" t="s">
        <v>3</v>
      </c>
    </row>
    <row r="3" spans="1:15" x14ac:dyDescent="0.25">
      <c r="A3" t="s">
        <v>4</v>
      </c>
      <c r="C3" s="4">
        <v>306145.34499999997</v>
      </c>
      <c r="D3" s="4">
        <v>706045.73699999996</v>
      </c>
      <c r="E3" s="4">
        <v>604268.28099999996</v>
      </c>
      <c r="F3" s="4">
        <v>399131.42499999999</v>
      </c>
      <c r="G3" s="4">
        <v>128482.617</v>
      </c>
      <c r="H3" s="4">
        <v>41677.546000000002</v>
      </c>
      <c r="I3" s="4">
        <v>14521.337</v>
      </c>
      <c r="J3" s="4">
        <v>3359.326</v>
      </c>
      <c r="K3" s="4">
        <v>1150.0930000000001</v>
      </c>
      <c r="L3" s="5">
        <v>1071</v>
      </c>
    </row>
    <row r="4" spans="1:15" x14ac:dyDescent="0.25">
      <c r="A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spans="1:15" x14ac:dyDescent="0.25">
      <c r="A5" t="s">
        <v>6</v>
      </c>
      <c r="B5" s="4"/>
      <c r="C5" s="4"/>
      <c r="D5" s="4"/>
      <c r="E5" s="4"/>
      <c r="F5" s="4"/>
      <c r="G5" s="4"/>
      <c r="H5" s="4"/>
      <c r="I5" s="4"/>
      <c r="J5" s="4"/>
    </row>
    <row r="6" spans="1:15" x14ac:dyDescent="0.25">
      <c r="A6" t="s">
        <v>7</v>
      </c>
      <c r="B6" s="4">
        <v>1136429.0190000001</v>
      </c>
      <c r="C6" s="4">
        <v>605997.57700000005</v>
      </c>
      <c r="D6" s="4">
        <v>254516.91899999999</v>
      </c>
      <c r="E6" s="4">
        <v>891528.39899999998</v>
      </c>
      <c r="F6" s="4">
        <v>2649081.8390000002</v>
      </c>
      <c r="G6" s="4">
        <v>3185980.344</v>
      </c>
      <c r="H6" s="4">
        <v>2526621.6</v>
      </c>
      <c r="I6" s="4">
        <v>1353480.595</v>
      </c>
      <c r="J6" s="4">
        <v>513620.01199999999</v>
      </c>
      <c r="K6" s="4">
        <v>137926.09400000001</v>
      </c>
      <c r="L6" s="5">
        <v>83471</v>
      </c>
    </row>
    <row r="7" spans="1:15" x14ac:dyDescent="0.25">
      <c r="A7" t="s">
        <v>8</v>
      </c>
      <c r="B7" s="4">
        <v>979909.91500000004</v>
      </c>
      <c r="C7" s="4">
        <v>522505.967</v>
      </c>
      <c r="D7" s="4">
        <v>126814.88400000001</v>
      </c>
      <c r="E7" s="4">
        <v>252006.88500000001</v>
      </c>
      <c r="F7" s="4">
        <v>578585.01399999997</v>
      </c>
      <c r="G7" s="4">
        <v>650693.08200000005</v>
      </c>
      <c r="H7" s="4">
        <v>516028.04100000003</v>
      </c>
      <c r="I7" s="4">
        <v>276429.973</v>
      </c>
      <c r="J7" s="4">
        <v>104899.89</v>
      </c>
      <c r="K7" s="4">
        <v>28169.526000000002</v>
      </c>
      <c r="L7" s="5">
        <v>17047</v>
      </c>
    </row>
    <row r="8" spans="1:15" x14ac:dyDescent="0.25">
      <c r="A8" t="s">
        <v>9</v>
      </c>
      <c r="C8" s="4">
        <v>18382.481</v>
      </c>
      <c r="D8" s="4">
        <v>236698.09099999999</v>
      </c>
      <c r="E8" s="4">
        <v>1329615.4040000001</v>
      </c>
      <c r="F8" s="4">
        <v>1705045.53</v>
      </c>
      <c r="G8" s="4">
        <v>818742.21900000004</v>
      </c>
      <c r="H8" s="4">
        <v>405060.36900000001</v>
      </c>
      <c r="I8" s="4">
        <v>267472.647</v>
      </c>
      <c r="J8" s="4">
        <v>172592.07500000001</v>
      </c>
      <c r="K8" s="4">
        <v>157109.50399999999</v>
      </c>
      <c r="L8" s="5">
        <v>607830</v>
      </c>
    </row>
    <row r="9" spans="1:15" x14ac:dyDescent="0.25">
      <c r="A9" t="s">
        <v>10</v>
      </c>
      <c r="C9" s="4">
        <v>536786.92799999996</v>
      </c>
      <c r="D9" s="4">
        <v>1122055.879</v>
      </c>
      <c r="E9" s="4">
        <v>1118451.5989999999</v>
      </c>
      <c r="F9" s="4">
        <v>1753702.6969999999</v>
      </c>
      <c r="G9" s="4">
        <v>608330.28899999999</v>
      </c>
      <c r="H9" s="4">
        <v>162482.85</v>
      </c>
      <c r="I9" s="4">
        <v>7451.5940000000001</v>
      </c>
      <c r="J9" s="4">
        <v>4808.29</v>
      </c>
      <c r="K9" s="4">
        <v>4376.9570000000003</v>
      </c>
      <c r="L9" s="5">
        <v>41811</v>
      </c>
    </row>
    <row r="10" spans="1:15" x14ac:dyDescent="0.25">
      <c r="A10" t="s">
        <v>11</v>
      </c>
      <c r="C10" s="4">
        <v>18606.927</v>
      </c>
      <c r="D10" s="4">
        <v>464488.64500000002</v>
      </c>
      <c r="E10" s="4">
        <v>798655.42</v>
      </c>
      <c r="F10" s="4">
        <v>1677193.5989999999</v>
      </c>
      <c r="G10" s="4">
        <v>1359537.527</v>
      </c>
      <c r="H10" s="4">
        <v>1003403.3860000001</v>
      </c>
      <c r="I10" s="4">
        <v>496883.91200000001</v>
      </c>
      <c r="J10" s="4">
        <v>211480.50899999999</v>
      </c>
      <c r="K10" s="4">
        <v>75360.888999999996</v>
      </c>
      <c r="L10" s="5">
        <v>79885</v>
      </c>
    </row>
    <row r="11" spans="1:15" x14ac:dyDescent="0.25">
      <c r="A11" t="s">
        <v>12</v>
      </c>
      <c r="C11" s="4">
        <v>7332.5280000000002</v>
      </c>
      <c r="D11" s="4">
        <v>116264.21400000001</v>
      </c>
      <c r="E11" s="4">
        <v>95054.998000000007</v>
      </c>
      <c r="F11" s="4">
        <v>124884.44500000001</v>
      </c>
      <c r="G11" s="4">
        <v>103290.284</v>
      </c>
      <c r="H11" s="4">
        <v>70986.945000000007</v>
      </c>
      <c r="I11" s="4">
        <v>35172.538</v>
      </c>
      <c r="J11" s="4">
        <v>14971.866</v>
      </c>
      <c r="K11" s="4">
        <v>5291.4549999999999</v>
      </c>
      <c r="L11" s="5">
        <v>5711</v>
      </c>
    </row>
    <row r="13" spans="1:15" x14ac:dyDescent="0.25">
      <c r="A13" s="3" t="s">
        <v>13</v>
      </c>
    </row>
    <row r="14" spans="1:15" x14ac:dyDescent="0.25">
      <c r="B14">
        <v>0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</row>
    <row r="15" spans="1:15" x14ac:dyDescent="0.25">
      <c r="A15" t="s">
        <v>1</v>
      </c>
      <c r="B15" s="6">
        <f t="shared" ref="B15:L15" si="0">B2/1000</f>
        <v>0</v>
      </c>
      <c r="C15" s="6">
        <f t="shared" si="0"/>
        <v>62.283508999999995</v>
      </c>
      <c r="D15" s="6">
        <f t="shared" si="0"/>
        <v>175.37342100000001</v>
      </c>
      <c r="E15" s="6">
        <f t="shared" si="0"/>
        <v>613.43931999999995</v>
      </c>
      <c r="F15" s="6">
        <f t="shared" si="0"/>
        <v>1201.7099490000001</v>
      </c>
      <c r="G15" s="6">
        <f t="shared" si="0"/>
        <v>791.48715599999991</v>
      </c>
      <c r="H15" s="6">
        <f t="shared" si="0"/>
        <v>451.50949800000001</v>
      </c>
      <c r="I15" s="6">
        <f t="shared" si="0"/>
        <v>180.88339400000001</v>
      </c>
      <c r="J15" s="6">
        <f t="shared" si="0"/>
        <v>64.732640000000004</v>
      </c>
      <c r="K15" s="6">
        <f t="shared" si="0"/>
        <v>22.161757000000001</v>
      </c>
      <c r="L15" s="6">
        <f t="shared" si="0"/>
        <v>20.646999999999998</v>
      </c>
    </row>
    <row r="16" spans="1:15" x14ac:dyDescent="0.25">
      <c r="A16" t="s">
        <v>4</v>
      </c>
      <c r="B16" s="6">
        <f t="shared" ref="B16:L16" si="1">B3/1000</f>
        <v>0</v>
      </c>
      <c r="C16" s="6">
        <f t="shared" si="1"/>
        <v>306.14534499999996</v>
      </c>
      <c r="D16" s="6">
        <f t="shared" si="1"/>
        <v>706.04573699999992</v>
      </c>
      <c r="E16" s="6">
        <f t="shared" si="1"/>
        <v>604.268281</v>
      </c>
      <c r="F16" s="6">
        <f t="shared" si="1"/>
        <v>399.13142499999998</v>
      </c>
      <c r="G16" s="6">
        <f t="shared" si="1"/>
        <v>128.482617</v>
      </c>
      <c r="H16" s="6">
        <f t="shared" si="1"/>
        <v>41.677546</v>
      </c>
      <c r="I16" s="6">
        <f t="shared" si="1"/>
        <v>14.521336999999999</v>
      </c>
      <c r="J16" s="6">
        <f t="shared" si="1"/>
        <v>3.3593259999999998</v>
      </c>
      <c r="K16" s="6">
        <f t="shared" si="1"/>
        <v>1.150093</v>
      </c>
      <c r="L16" s="6">
        <f t="shared" si="1"/>
        <v>1.071</v>
      </c>
    </row>
    <row r="17" spans="1:12" x14ac:dyDescent="0.25">
      <c r="A17" s="7" t="s">
        <v>5</v>
      </c>
      <c r="B17" s="8">
        <v>0</v>
      </c>
      <c r="C17" s="8">
        <v>0</v>
      </c>
      <c r="D17" s="8">
        <v>29.085318760073964</v>
      </c>
      <c r="E17" s="8">
        <v>1664.3153710450949</v>
      </c>
      <c r="F17" s="8">
        <v>8957.6913586463506</v>
      </c>
      <c r="G17" s="8">
        <v>3195.3117483375354</v>
      </c>
      <c r="H17" s="8">
        <v>1012.8018387829845</v>
      </c>
      <c r="I17" s="8">
        <v>279.89640178321611</v>
      </c>
      <c r="J17" s="8">
        <v>104.97722416691501</v>
      </c>
      <c r="K17" s="8">
        <v>57.064781385714966</v>
      </c>
      <c r="L17" s="8">
        <v>8.3395062909606826E-3</v>
      </c>
    </row>
    <row r="18" spans="1:12" x14ac:dyDescent="0.25">
      <c r="A18" s="7" t="s">
        <v>6</v>
      </c>
      <c r="B18" s="8">
        <v>3.9060754920749332</v>
      </c>
      <c r="C18" s="8">
        <v>1013.5320078365279</v>
      </c>
      <c r="D18" s="8">
        <v>2816.7195590450888</v>
      </c>
      <c r="E18" s="8">
        <v>2224.6566002624409</v>
      </c>
      <c r="F18" s="8">
        <v>935.53123305758083</v>
      </c>
      <c r="G18" s="8">
        <v>228.2525881006712</v>
      </c>
      <c r="H18" s="8">
        <v>16.427650768630663</v>
      </c>
      <c r="I18" s="8">
        <v>1.8667784964353022</v>
      </c>
      <c r="J18" s="8">
        <v>0</v>
      </c>
      <c r="K18" s="8">
        <v>0</v>
      </c>
      <c r="L18" s="8">
        <v>0</v>
      </c>
    </row>
    <row r="19" spans="1:12" x14ac:dyDescent="0.25">
      <c r="A19" t="s">
        <v>7</v>
      </c>
      <c r="B19" s="6">
        <f t="shared" ref="B19:L19" si="2">B6/1000</f>
        <v>1136.4290190000002</v>
      </c>
      <c r="C19" s="6">
        <f t="shared" si="2"/>
        <v>605.99757700000009</v>
      </c>
      <c r="D19" s="6">
        <f t="shared" si="2"/>
        <v>254.516919</v>
      </c>
      <c r="E19" s="6">
        <f t="shared" si="2"/>
        <v>891.52839899999992</v>
      </c>
      <c r="F19" s="6">
        <f t="shared" si="2"/>
        <v>2649.0818389999999</v>
      </c>
      <c r="G19" s="6">
        <f t="shared" si="2"/>
        <v>3185.9803440000001</v>
      </c>
      <c r="H19" s="6">
        <f t="shared" si="2"/>
        <v>2526.6215999999999</v>
      </c>
      <c r="I19" s="6">
        <f t="shared" si="2"/>
        <v>1353.480595</v>
      </c>
      <c r="J19" s="6">
        <f t="shared" si="2"/>
        <v>513.62001199999997</v>
      </c>
      <c r="K19" s="6">
        <f t="shared" si="2"/>
        <v>137.92609400000001</v>
      </c>
      <c r="L19" s="6">
        <f t="shared" si="2"/>
        <v>83.471000000000004</v>
      </c>
    </row>
    <row r="20" spans="1:12" x14ac:dyDescent="0.25">
      <c r="A20" t="s">
        <v>8</v>
      </c>
      <c r="B20" s="6">
        <f t="shared" ref="B20:L20" si="3">B7/1000</f>
        <v>979.90991500000007</v>
      </c>
      <c r="C20" s="6">
        <f t="shared" si="3"/>
        <v>522.50596700000006</v>
      </c>
      <c r="D20" s="6">
        <f t="shared" si="3"/>
        <v>126.81488400000001</v>
      </c>
      <c r="E20" s="6">
        <f t="shared" si="3"/>
        <v>252.00688500000001</v>
      </c>
      <c r="F20" s="6">
        <f t="shared" si="3"/>
        <v>578.585014</v>
      </c>
      <c r="G20" s="6">
        <f t="shared" si="3"/>
        <v>650.693082</v>
      </c>
      <c r="H20" s="6">
        <f t="shared" si="3"/>
        <v>516.02804100000003</v>
      </c>
      <c r="I20" s="6">
        <f t="shared" si="3"/>
        <v>276.42997300000002</v>
      </c>
      <c r="J20" s="6">
        <f t="shared" si="3"/>
        <v>104.89989</v>
      </c>
      <c r="K20" s="6">
        <f t="shared" si="3"/>
        <v>28.169526000000001</v>
      </c>
      <c r="L20" s="6">
        <f t="shared" si="3"/>
        <v>17.047000000000001</v>
      </c>
    </row>
    <row r="21" spans="1:12" x14ac:dyDescent="0.25">
      <c r="A21" t="s">
        <v>9</v>
      </c>
      <c r="B21" s="6">
        <f t="shared" ref="B21:L21" si="4">B8/1000</f>
        <v>0</v>
      </c>
      <c r="C21" s="6">
        <f t="shared" si="4"/>
        <v>18.382480999999999</v>
      </c>
      <c r="D21" s="6">
        <f t="shared" si="4"/>
        <v>236.69809099999998</v>
      </c>
      <c r="E21" s="6">
        <f t="shared" si="4"/>
        <v>1329.6154040000001</v>
      </c>
      <c r="F21" s="6">
        <f t="shared" si="4"/>
        <v>1705.0455300000001</v>
      </c>
      <c r="G21" s="6">
        <f t="shared" si="4"/>
        <v>818.74221900000009</v>
      </c>
      <c r="H21" s="6">
        <f t="shared" si="4"/>
        <v>405.06036899999998</v>
      </c>
      <c r="I21" s="6">
        <f t="shared" si="4"/>
        <v>267.47264699999999</v>
      </c>
      <c r="J21" s="6">
        <f t="shared" si="4"/>
        <v>172.59207500000002</v>
      </c>
      <c r="K21" s="6">
        <f t="shared" si="4"/>
        <v>157.10950399999999</v>
      </c>
      <c r="L21" s="6">
        <f t="shared" si="4"/>
        <v>607.83000000000004</v>
      </c>
    </row>
    <row r="22" spans="1:12" x14ac:dyDescent="0.25">
      <c r="A22" t="s">
        <v>10</v>
      </c>
      <c r="B22" s="6">
        <f t="shared" ref="B22:L22" si="5">B9/1000</f>
        <v>0</v>
      </c>
      <c r="C22" s="6">
        <f t="shared" si="5"/>
        <v>536.78692799999999</v>
      </c>
      <c r="D22" s="6">
        <f t="shared" si="5"/>
        <v>1122.055879</v>
      </c>
      <c r="E22" s="6">
        <f t="shared" si="5"/>
        <v>1118.451599</v>
      </c>
      <c r="F22" s="6">
        <f t="shared" si="5"/>
        <v>1753.7026969999999</v>
      </c>
      <c r="G22" s="6">
        <f t="shared" si="5"/>
        <v>608.33028899999999</v>
      </c>
      <c r="H22" s="6">
        <f t="shared" si="5"/>
        <v>162.48285000000001</v>
      </c>
      <c r="I22" s="6">
        <f t="shared" si="5"/>
        <v>7.4515940000000001</v>
      </c>
      <c r="J22" s="6">
        <f t="shared" si="5"/>
        <v>4.8082900000000004</v>
      </c>
      <c r="K22" s="6">
        <f t="shared" si="5"/>
        <v>4.376957</v>
      </c>
      <c r="L22" s="6">
        <f t="shared" si="5"/>
        <v>41.811</v>
      </c>
    </row>
    <row r="23" spans="1:12" x14ac:dyDescent="0.25">
      <c r="A23" t="s">
        <v>11</v>
      </c>
      <c r="B23" s="6">
        <f t="shared" ref="B23:L23" si="6">B10/1000</f>
        <v>0</v>
      </c>
      <c r="C23" s="6">
        <f t="shared" si="6"/>
        <v>18.606926999999999</v>
      </c>
      <c r="D23" s="6">
        <f t="shared" si="6"/>
        <v>464.48864500000002</v>
      </c>
      <c r="E23" s="6">
        <f t="shared" si="6"/>
        <v>798.65542000000005</v>
      </c>
      <c r="F23" s="6">
        <f t="shared" si="6"/>
        <v>1677.1935989999999</v>
      </c>
      <c r="G23" s="6">
        <f t="shared" si="6"/>
        <v>1359.537527</v>
      </c>
      <c r="H23" s="6">
        <f t="shared" si="6"/>
        <v>1003.4033860000001</v>
      </c>
      <c r="I23" s="6">
        <f t="shared" si="6"/>
        <v>496.88391200000001</v>
      </c>
      <c r="J23" s="6">
        <f t="shared" si="6"/>
        <v>211.48050899999998</v>
      </c>
      <c r="K23" s="6">
        <f t="shared" si="6"/>
        <v>75.360889</v>
      </c>
      <c r="L23" s="6">
        <f t="shared" si="6"/>
        <v>79.885000000000005</v>
      </c>
    </row>
    <row r="24" spans="1:12" x14ac:dyDescent="0.25">
      <c r="A24" t="s">
        <v>12</v>
      </c>
      <c r="B24" s="6">
        <f t="shared" ref="B24:L24" si="7">B11/1000</f>
        <v>0</v>
      </c>
      <c r="C24" s="6">
        <f t="shared" si="7"/>
        <v>7.3325279999999999</v>
      </c>
      <c r="D24" s="6">
        <f t="shared" si="7"/>
        <v>116.26421400000001</v>
      </c>
      <c r="E24" s="6">
        <f t="shared" si="7"/>
        <v>95.054998000000012</v>
      </c>
      <c r="F24" s="6">
        <f t="shared" si="7"/>
        <v>124.88444500000001</v>
      </c>
      <c r="G24" s="6">
        <f t="shared" si="7"/>
        <v>103.290284</v>
      </c>
      <c r="H24" s="6">
        <f t="shared" si="7"/>
        <v>70.986945000000006</v>
      </c>
      <c r="I24" s="6">
        <f t="shared" si="7"/>
        <v>35.172538000000003</v>
      </c>
      <c r="J24" s="6">
        <f t="shared" si="7"/>
        <v>14.971866</v>
      </c>
      <c r="K24" s="6">
        <f t="shared" si="7"/>
        <v>5.291455</v>
      </c>
      <c r="L24" s="6">
        <f t="shared" si="7"/>
        <v>5.7110000000000003</v>
      </c>
    </row>
    <row r="27" spans="1:12" x14ac:dyDescent="0.25">
      <c r="A27" s="9" t="s">
        <v>14</v>
      </c>
      <c r="B27" s="10">
        <f t="shared" ref="B27:L27" si="8">SUM(B15:B24)</f>
        <v>2120.245009492075</v>
      </c>
      <c r="C27" s="10">
        <f t="shared" si="8"/>
        <v>3091.5732698365277</v>
      </c>
      <c r="D27" s="10">
        <f t="shared" si="8"/>
        <v>6048.0626678051631</v>
      </c>
      <c r="E27" s="10">
        <f t="shared" si="8"/>
        <v>9591.9922773075341</v>
      </c>
      <c r="F27" s="10">
        <f t="shared" si="8"/>
        <v>19982.557089703932</v>
      </c>
      <c r="G27" s="10">
        <f t="shared" si="8"/>
        <v>11070.107854438207</v>
      </c>
      <c r="H27" s="10">
        <f t="shared" si="8"/>
        <v>6206.9997245516151</v>
      </c>
      <c r="I27" s="10">
        <f t="shared" si="8"/>
        <v>2914.059170279651</v>
      </c>
      <c r="J27" s="10">
        <f t="shared" si="8"/>
        <v>1195.4418321669152</v>
      </c>
      <c r="K27" s="10">
        <f t="shared" si="8"/>
        <v>488.6110563857149</v>
      </c>
      <c r="L27" s="10">
        <f t="shared" si="8"/>
        <v>857.48133950629108</v>
      </c>
    </row>
    <row r="28" spans="1:12" x14ac:dyDescent="0.25">
      <c r="A28" s="9" t="s">
        <v>15</v>
      </c>
      <c r="B28" s="10">
        <f t="shared" ref="B28:L28" si="9">B15+B17+B19+B21+B23</f>
        <v>1136.4290190000002</v>
      </c>
      <c r="C28" s="10">
        <f t="shared" si="9"/>
        <v>705.2704940000001</v>
      </c>
      <c r="D28" s="10">
        <f t="shared" si="9"/>
        <v>1160.162394760074</v>
      </c>
      <c r="E28" s="10">
        <f t="shared" si="9"/>
        <v>5297.5539140450946</v>
      </c>
      <c r="F28" s="10">
        <f t="shared" si="9"/>
        <v>16190.722275646351</v>
      </c>
      <c r="G28" s="10">
        <f t="shared" si="9"/>
        <v>9351.0589943375362</v>
      </c>
      <c r="H28" s="10">
        <f t="shared" si="9"/>
        <v>5399.3966917829848</v>
      </c>
      <c r="I28" s="10">
        <f t="shared" si="9"/>
        <v>2578.6169497832161</v>
      </c>
      <c r="J28" s="10">
        <f t="shared" si="9"/>
        <v>1067.402460166915</v>
      </c>
      <c r="K28" s="10">
        <f t="shared" si="9"/>
        <v>449.62302538571493</v>
      </c>
      <c r="L28" s="10">
        <f t="shared" si="9"/>
        <v>791.84133950629098</v>
      </c>
    </row>
    <row r="29" spans="1:12" x14ac:dyDescent="0.25">
      <c r="A29" s="9" t="s">
        <v>16</v>
      </c>
      <c r="B29" s="10">
        <f t="shared" ref="B29:L29" si="10">B16+B18+B20+B22+B24</f>
        <v>983.815990492075</v>
      </c>
      <c r="C29" s="10">
        <f t="shared" si="10"/>
        <v>2386.3027758365279</v>
      </c>
      <c r="D29" s="10">
        <f t="shared" si="10"/>
        <v>4887.9002730450884</v>
      </c>
      <c r="E29" s="10">
        <f t="shared" si="10"/>
        <v>4294.4383632624404</v>
      </c>
      <c r="F29" s="10">
        <f t="shared" si="10"/>
        <v>3791.8348140575808</v>
      </c>
      <c r="G29" s="10">
        <f t="shared" si="10"/>
        <v>1719.0488601006712</v>
      </c>
      <c r="H29" s="10">
        <f t="shared" si="10"/>
        <v>807.60303276863067</v>
      </c>
      <c r="I29" s="10">
        <f t="shared" si="10"/>
        <v>335.44222049643531</v>
      </c>
      <c r="J29" s="10">
        <f t="shared" si="10"/>
        <v>128.03937199999999</v>
      </c>
      <c r="K29" s="10">
        <f t="shared" si="10"/>
        <v>38.988030999999999</v>
      </c>
      <c r="L29" s="10">
        <f t="shared" si="10"/>
        <v>65.64</v>
      </c>
    </row>
    <row r="30" spans="1:12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B31" s="9">
        <v>0</v>
      </c>
      <c r="C31" s="9">
        <v>1</v>
      </c>
      <c r="D31" s="9">
        <v>2</v>
      </c>
      <c r="E31" s="9">
        <v>3</v>
      </c>
      <c r="F31" s="9">
        <v>4</v>
      </c>
      <c r="G31" s="9">
        <v>5</v>
      </c>
      <c r="H31" s="9">
        <v>6</v>
      </c>
      <c r="I31" s="9">
        <v>7</v>
      </c>
      <c r="J31" s="9">
        <v>8</v>
      </c>
      <c r="K31" s="9">
        <v>9</v>
      </c>
      <c r="L31" s="9">
        <v>10</v>
      </c>
    </row>
    <row r="32" spans="1:12" x14ac:dyDescent="0.25">
      <c r="A32" s="9" t="s">
        <v>17</v>
      </c>
      <c r="B32" s="5">
        <v>9</v>
      </c>
      <c r="C32" s="5">
        <v>44.7</v>
      </c>
      <c r="D32" s="5">
        <v>124.23</v>
      </c>
      <c r="E32" s="5">
        <v>166.82</v>
      </c>
      <c r="F32" s="5">
        <v>214.47</v>
      </c>
      <c r="G32" s="5">
        <v>283.32</v>
      </c>
      <c r="H32" s="5">
        <v>377.86</v>
      </c>
      <c r="I32" s="5">
        <v>452.74</v>
      </c>
      <c r="J32" s="5">
        <v>505.51</v>
      </c>
      <c r="K32" s="5">
        <v>537.85</v>
      </c>
      <c r="L32" s="5">
        <v>603.99</v>
      </c>
    </row>
    <row r="33" spans="1:12" x14ac:dyDescent="0.25">
      <c r="A33" s="9" t="s">
        <v>18</v>
      </c>
      <c r="B33" s="5">
        <v>9</v>
      </c>
      <c r="C33" s="5">
        <v>52.88</v>
      </c>
      <c r="D33" s="5">
        <v>143.79</v>
      </c>
      <c r="E33" s="5">
        <v>177.11</v>
      </c>
      <c r="F33" s="5">
        <v>222.01</v>
      </c>
      <c r="G33" s="5">
        <v>286.55</v>
      </c>
      <c r="H33" s="5">
        <v>379.72</v>
      </c>
      <c r="I33" s="5">
        <v>451.4</v>
      </c>
      <c r="J33" s="5">
        <v>501.83</v>
      </c>
      <c r="K33" s="5">
        <v>535.14</v>
      </c>
      <c r="L33" s="5">
        <v>606.53</v>
      </c>
    </row>
    <row r="34" spans="1:12" x14ac:dyDescent="0.25">
      <c r="A34" s="9" t="s">
        <v>19</v>
      </c>
      <c r="B34" s="5">
        <v>9</v>
      </c>
      <c r="C34" s="5">
        <v>36.950000000000003</v>
      </c>
      <c r="D34" s="5">
        <v>102.97</v>
      </c>
      <c r="E34" s="5">
        <v>140.97999999999999</v>
      </c>
      <c r="F34" s="5">
        <v>189.81</v>
      </c>
      <c r="G34" s="5">
        <v>267.98</v>
      </c>
      <c r="H34" s="5">
        <v>366.64</v>
      </c>
      <c r="I34" s="5">
        <v>462.38</v>
      </c>
      <c r="J34" s="5">
        <v>534</v>
      </c>
      <c r="K34" s="5">
        <v>563.96</v>
      </c>
      <c r="L34" s="5">
        <v>576.86</v>
      </c>
    </row>
    <row r="35" spans="1:12" x14ac:dyDescent="0.25">
      <c r="A35" s="3" t="s">
        <v>13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9" t="s">
        <v>17</v>
      </c>
      <c r="B36" s="11">
        <f t="shared" ref="B36:L36" si="11">B32/1000</f>
        <v>8.9999999999999993E-3</v>
      </c>
      <c r="C36" s="11">
        <f t="shared" si="11"/>
        <v>4.4700000000000004E-2</v>
      </c>
      <c r="D36" s="11">
        <f t="shared" si="11"/>
        <v>0.12423000000000001</v>
      </c>
      <c r="E36" s="11">
        <f t="shared" si="11"/>
        <v>0.16682</v>
      </c>
      <c r="F36" s="11">
        <f t="shared" si="11"/>
        <v>0.21446999999999999</v>
      </c>
      <c r="G36" s="11">
        <f t="shared" si="11"/>
        <v>0.28332000000000002</v>
      </c>
      <c r="H36" s="11">
        <f t="shared" si="11"/>
        <v>0.37786000000000003</v>
      </c>
      <c r="I36" s="11">
        <f t="shared" si="11"/>
        <v>0.45274000000000003</v>
      </c>
      <c r="J36" s="11">
        <f t="shared" si="11"/>
        <v>0.50551000000000001</v>
      </c>
      <c r="K36" s="11">
        <f t="shared" si="11"/>
        <v>0.53785000000000005</v>
      </c>
      <c r="L36" s="11">
        <f t="shared" si="11"/>
        <v>0.60399000000000003</v>
      </c>
    </row>
    <row r="37" spans="1:12" x14ac:dyDescent="0.25">
      <c r="A37" s="9" t="s">
        <v>18</v>
      </c>
      <c r="B37" s="11">
        <f t="shared" ref="B37:L37" si="12">B33/1000</f>
        <v>8.9999999999999993E-3</v>
      </c>
      <c r="C37" s="11">
        <f t="shared" si="12"/>
        <v>5.2880000000000003E-2</v>
      </c>
      <c r="D37" s="11">
        <f t="shared" si="12"/>
        <v>0.14379</v>
      </c>
      <c r="E37" s="11">
        <f t="shared" si="12"/>
        <v>0.17711000000000002</v>
      </c>
      <c r="F37" s="11">
        <f t="shared" si="12"/>
        <v>0.22200999999999999</v>
      </c>
      <c r="G37" s="11">
        <f t="shared" si="12"/>
        <v>0.28655000000000003</v>
      </c>
      <c r="H37" s="11">
        <f t="shared" si="12"/>
        <v>0.37972</v>
      </c>
      <c r="I37" s="11">
        <f t="shared" si="12"/>
        <v>0.45139999999999997</v>
      </c>
      <c r="J37" s="11">
        <f t="shared" si="12"/>
        <v>0.50183</v>
      </c>
      <c r="K37" s="11">
        <f t="shared" si="12"/>
        <v>0.53513999999999995</v>
      </c>
      <c r="L37" s="11">
        <f t="shared" si="12"/>
        <v>0.60653000000000001</v>
      </c>
    </row>
    <row r="38" spans="1:12" x14ac:dyDescent="0.25">
      <c r="A38" s="9" t="s">
        <v>19</v>
      </c>
      <c r="B38" s="11">
        <f t="shared" ref="B38:L38" si="13">B34/1000</f>
        <v>8.9999999999999993E-3</v>
      </c>
      <c r="C38" s="11">
        <f t="shared" si="13"/>
        <v>3.6950000000000004E-2</v>
      </c>
      <c r="D38" s="11">
        <f t="shared" si="13"/>
        <v>0.10296999999999999</v>
      </c>
      <c r="E38" s="11">
        <f t="shared" si="13"/>
        <v>0.14097999999999999</v>
      </c>
      <c r="F38" s="11">
        <f t="shared" si="13"/>
        <v>0.18981000000000001</v>
      </c>
      <c r="G38" s="11">
        <f t="shared" si="13"/>
        <v>0.26798</v>
      </c>
      <c r="H38" s="11">
        <f t="shared" si="13"/>
        <v>0.36663999999999997</v>
      </c>
      <c r="I38" s="11">
        <f t="shared" si="13"/>
        <v>0.46238000000000001</v>
      </c>
      <c r="J38" s="11">
        <f t="shared" si="13"/>
        <v>0.53400000000000003</v>
      </c>
      <c r="K38" s="11">
        <f t="shared" si="13"/>
        <v>0.56396000000000002</v>
      </c>
      <c r="L38" s="11">
        <f t="shared" si="13"/>
        <v>0.57686000000000004</v>
      </c>
    </row>
    <row r="39" spans="1:12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9" t="s">
        <v>20</v>
      </c>
    </row>
    <row r="41" spans="1:12" x14ac:dyDescent="0.25">
      <c r="A41" t="s">
        <v>5</v>
      </c>
      <c r="B41" s="12">
        <v>0</v>
      </c>
      <c r="C41" s="12">
        <v>0</v>
      </c>
      <c r="D41" s="12">
        <v>29.085318760073964</v>
      </c>
      <c r="E41" s="12">
        <v>1664.3153710450949</v>
      </c>
      <c r="F41" s="12">
        <v>8957.6913586463506</v>
      </c>
      <c r="G41" s="12">
        <v>3195.3117483375354</v>
      </c>
      <c r="H41" s="12">
        <v>1012.8018387829845</v>
      </c>
      <c r="I41" s="12">
        <v>279.89640178321611</v>
      </c>
      <c r="J41" s="12">
        <v>104.97722416691501</v>
      </c>
      <c r="K41" s="12">
        <v>57.064781385714966</v>
      </c>
      <c r="L41" s="12">
        <v>8.3395062909606826E-3</v>
      </c>
    </row>
    <row r="42" spans="1:12" x14ac:dyDescent="0.25">
      <c r="A42" t="s">
        <v>6</v>
      </c>
      <c r="B42" s="12">
        <v>3.9060754920749332</v>
      </c>
      <c r="C42" s="12">
        <v>1013.5320078365279</v>
      </c>
      <c r="D42" s="12">
        <v>2816.7195590450888</v>
      </c>
      <c r="E42" s="12">
        <v>2224.6566002624409</v>
      </c>
      <c r="F42" s="12">
        <v>935.53123305758083</v>
      </c>
      <c r="G42" s="12">
        <v>228.2525881006712</v>
      </c>
      <c r="H42" s="12">
        <v>16.427650768630663</v>
      </c>
      <c r="I42" s="12">
        <v>1.8667784964353022</v>
      </c>
      <c r="J42" s="12">
        <v>0</v>
      </c>
      <c r="K42" s="12">
        <v>0</v>
      </c>
      <c r="L42" s="12">
        <v>0</v>
      </c>
    </row>
    <row r="44" spans="1:12" s="17" customFormat="1" x14ac:dyDescent="0.25">
      <c r="A44" s="16" t="s">
        <v>21</v>
      </c>
    </row>
    <row r="46" spans="1:12" x14ac:dyDescent="0.25">
      <c r="A46" s="9" t="s">
        <v>22</v>
      </c>
      <c r="B46">
        <f>(C36*C27)+(D27*D36)+(E27*E36)+(F27*F36)+(G27*G36)+(H27*H36)+(I27*I36)+(J27*J36)+(K27*K36)+(L27*L36)</f>
        <v>14961.427754607446</v>
      </c>
      <c r="C46" t="s">
        <v>23</v>
      </c>
    </row>
    <row r="47" spans="1:12" x14ac:dyDescent="0.25">
      <c r="B47">
        <f t="shared" ref="B47" si="14">(C37*C28)+(D28*D37)+(E28*E37)+(F28*F37)+(G28*G37)+(H28*H37)+(I28*I37)+(J28*J37)+(K28*K37)+(L28*L37)</f>
        <v>11887.20040840267</v>
      </c>
      <c r="C47" t="s">
        <v>24</v>
      </c>
    </row>
    <row r="48" spans="1:12" x14ac:dyDescent="0.25">
      <c r="B48">
        <f>(C38*C29)+(D29*D38)+(E29*E38)+(F29*F38)+(G29*G38)+(H29*H38)+(I29*I38)+(J29*J38)</f>
        <v>2896.8841532168308</v>
      </c>
      <c r="C48" t="s">
        <v>25</v>
      </c>
    </row>
    <row r="50" spans="1:13" x14ac:dyDescent="0.25">
      <c r="A50" s="9" t="s">
        <v>26</v>
      </c>
      <c r="D50" t="s">
        <v>27</v>
      </c>
      <c r="E50" s="13">
        <v>13161</v>
      </c>
      <c r="G50" t="s">
        <v>28</v>
      </c>
      <c r="H50">
        <v>10821</v>
      </c>
      <c r="J50" t="s">
        <v>29</v>
      </c>
      <c r="K50">
        <v>2340</v>
      </c>
      <c r="M50" s="3" t="s">
        <v>30</v>
      </c>
    </row>
    <row r="51" spans="1:13" x14ac:dyDescent="0.25">
      <c r="D51" t="s">
        <v>22</v>
      </c>
      <c r="E51">
        <f>E50/B46</f>
        <v>0.8796620359943258</v>
      </c>
      <c r="H51">
        <f>H50/B47</f>
        <v>0.91030685344136975</v>
      </c>
      <c r="K51">
        <f>K50/B48</f>
        <v>0.80776443800887188</v>
      </c>
    </row>
    <row r="53" spans="1:13" x14ac:dyDescent="0.25">
      <c r="A53" s="9" t="s">
        <v>31</v>
      </c>
    </row>
    <row r="54" spans="1:13" x14ac:dyDescent="0.25">
      <c r="A54" s="14" t="s">
        <v>14</v>
      </c>
      <c r="B54" s="10"/>
      <c r="C54" s="10">
        <f>SUM(C55:C56)</f>
        <v>2569.5830848607843</v>
      </c>
      <c r="D54" s="10">
        <f t="shared" ref="D54:L54" si="15">SUM(D55:D56)</f>
        <v>5004.3757961547244</v>
      </c>
      <c r="E54" s="10">
        <f t="shared" si="15"/>
        <v>8291.2942254948266</v>
      </c>
      <c r="F54" s="10">
        <f t="shared" si="15"/>
        <v>17801.434767286421</v>
      </c>
      <c r="G54" s="10">
        <f t="shared" si="15"/>
        <v>9900.9196258690317</v>
      </c>
      <c r="H54" s="10">
        <f t="shared" si="15"/>
        <v>5567.4608228773232</v>
      </c>
      <c r="I54" s="10">
        <f t="shared" si="15"/>
        <v>2618.290978511493</v>
      </c>
      <c r="J54" s="10">
        <f t="shared" si="15"/>
        <v>1075.0894262367103</v>
      </c>
      <c r="K54" s="10">
        <f t="shared" si="15"/>
        <v>409.29492147365926</v>
      </c>
      <c r="L54" s="10">
        <f t="shared" si="15"/>
        <v>720.81859819077113</v>
      </c>
    </row>
    <row r="55" spans="1:13" x14ac:dyDescent="0.25">
      <c r="A55" s="14" t="s">
        <v>15</v>
      </c>
      <c r="B55" s="10"/>
      <c r="C55" s="10">
        <f>C28*$H$51</f>
        <v>642.0125642181805</v>
      </c>
      <c r="D55" s="10">
        <f t="shared" ref="D55:L55" si="16">D28*$H$51</f>
        <v>1056.1037790550472</v>
      </c>
      <c r="E55" s="10">
        <f t="shared" si="16"/>
        <v>4822.3996344304023</v>
      </c>
      <c r="F55" s="10">
        <f t="shared" si="16"/>
        <v>14738.525449686724</v>
      </c>
      <c r="G55" s="10">
        <f t="shared" si="16"/>
        <v>8512.333089480022</v>
      </c>
      <c r="H55" s="10">
        <f t="shared" si="16"/>
        <v>4915.1078129787102</v>
      </c>
      <c r="I55" s="10">
        <f t="shared" si="16"/>
        <v>2347.3326817877419</v>
      </c>
      <c r="J55" s="10">
        <f t="shared" si="16"/>
        <v>971.66377487012142</v>
      </c>
      <c r="K55" s="10">
        <f t="shared" si="16"/>
        <v>409.29492147365926</v>
      </c>
      <c r="L55" s="10">
        <f t="shared" si="16"/>
        <v>720.81859819077113</v>
      </c>
    </row>
    <row r="56" spans="1:13" x14ac:dyDescent="0.25">
      <c r="A56" s="14" t="s">
        <v>16</v>
      </c>
      <c r="B56" s="10"/>
      <c r="C56" s="10">
        <f>C29*$K$51</f>
        <v>1927.5705206426039</v>
      </c>
      <c r="D56" s="10">
        <f t="shared" ref="D56:I56" si="17">D29*$K$51</f>
        <v>3948.2720170996772</v>
      </c>
      <c r="E56" s="10">
        <f t="shared" si="17"/>
        <v>3468.8945910644247</v>
      </c>
      <c r="F56" s="10">
        <f t="shared" si="17"/>
        <v>3062.9093175996968</v>
      </c>
      <c r="G56" s="10">
        <f t="shared" si="17"/>
        <v>1388.5865363890105</v>
      </c>
      <c r="H56" s="10">
        <f t="shared" si="17"/>
        <v>652.35300989861344</v>
      </c>
      <c r="I56" s="10">
        <f t="shared" si="17"/>
        <v>270.95829672375118</v>
      </c>
      <c r="J56" s="10">
        <f>J29*$K$51</f>
        <v>103.42565136658888</v>
      </c>
      <c r="K56" s="10"/>
      <c r="L56" s="10"/>
    </row>
    <row r="58" spans="1:13" x14ac:dyDescent="0.25">
      <c r="A58" s="14" t="s">
        <v>35</v>
      </c>
      <c r="C58" s="18">
        <v>1730.8611000000001</v>
      </c>
      <c r="D58">
        <v>2946.3719999999998</v>
      </c>
      <c r="E58">
        <v>2759.5626999999999</v>
      </c>
      <c r="F58">
        <v>3113.5533</v>
      </c>
      <c r="G58">
        <v>1610.742</v>
      </c>
      <c r="H58">
        <v>854.53039999999999</v>
      </c>
      <c r="I58">
        <v>370.89389999999997</v>
      </c>
      <c r="J58">
        <v>142.29310000000001</v>
      </c>
      <c r="K58">
        <v>0</v>
      </c>
      <c r="L58">
        <v>0</v>
      </c>
    </row>
    <row r="60" spans="1:13" x14ac:dyDescent="0.25">
      <c r="A60" s="9" t="s">
        <v>32</v>
      </c>
    </row>
    <row r="61" spans="1:13" x14ac:dyDescent="0.25">
      <c r="A61" s="14" t="s">
        <v>17</v>
      </c>
      <c r="B61" s="9"/>
      <c r="C61" s="9">
        <f>((C55*C37)+(C56*C38))/(C55+C56)</f>
        <v>4.0930124327659058E-2</v>
      </c>
      <c r="D61" s="9">
        <f t="shared" ref="D61:L61" si="18">((D55*D37)+(D56*D38))/(D55+D56)</f>
        <v>0.11158449219983682</v>
      </c>
      <c r="E61" s="9">
        <f t="shared" si="18"/>
        <v>0.16199400505800676</v>
      </c>
      <c r="F61" s="9">
        <f t="shared" si="18"/>
        <v>0.21646967803629213</v>
      </c>
      <c r="G61" s="9">
        <f t="shared" si="18"/>
        <v>0.28394559021231019</v>
      </c>
      <c r="H61" s="9">
        <f t="shared" si="18"/>
        <v>0.37818738438923333</v>
      </c>
      <c r="I61" s="9">
        <f t="shared" si="18"/>
        <v>0.45253628398159096</v>
      </c>
      <c r="J61" s="9">
        <f t="shared" si="18"/>
        <v>0.50492481529932798</v>
      </c>
      <c r="K61" s="9">
        <f t="shared" si="18"/>
        <v>0.53513999999999995</v>
      </c>
      <c r="L61" s="9">
        <f t="shared" si="18"/>
        <v>0.60653000000000001</v>
      </c>
    </row>
    <row r="62" spans="1:13" x14ac:dyDescent="0.25">
      <c r="A62" s="9"/>
    </row>
    <row r="63" spans="1:13" x14ac:dyDescent="0.25">
      <c r="A63" s="9"/>
    </row>
    <row r="64" spans="1:13" x14ac:dyDescent="0.25">
      <c r="A64" s="9" t="s">
        <v>33</v>
      </c>
      <c r="B64">
        <f>(C61*C54)+(D54*D61)+(E54*E61)+(F54*F61)+(G54*G61)+(H54*H61)+(I54*I61)+(J54*J61)+(K54*K61)+(L54*L61)</f>
        <v>13161.000000000002</v>
      </c>
      <c r="C64" t="s">
        <v>23</v>
      </c>
    </row>
    <row r="65" spans="1:10" x14ac:dyDescent="0.25">
      <c r="B65">
        <f>(C37*C55)+(D55*D37)+(E55*E37)+(F55*F37)+(G55*G37)+(H55*H37)+(I55*I37)+(J55*J37)+(K55*K37)+(L55*L37)</f>
        <v>10821</v>
      </c>
      <c r="C65" t="s">
        <v>24</v>
      </c>
      <c r="E65" s="15" t="s">
        <v>34</v>
      </c>
      <c r="F65" s="15"/>
    </row>
    <row r="66" spans="1:10" x14ac:dyDescent="0.25">
      <c r="B66">
        <f>(C38*C56)+(D56*D38)+(E56*E38)+(F56*F38)+(G56*G38)+(H56*H38)+(I56*I38)+(J56*J38)</f>
        <v>2340</v>
      </c>
      <c r="C66" t="s">
        <v>25</v>
      </c>
    </row>
    <row r="68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5"/>
    </row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RUN2_FINAL_wgbie2023_corrected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2026-04-20T08:47:42Z</dcterms:created>
  <dcterms:modified xsi:type="dcterms:W3CDTF">2026-04-21T08:00:07Z</dcterms:modified>
</cp:coreProperties>
</file>